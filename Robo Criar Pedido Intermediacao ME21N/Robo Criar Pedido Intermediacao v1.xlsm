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L:\Contabilidade\AUTOMATIZAÇÕES DE LANÇAMENTOS\Robo Criar Pedido Intermediacao ME21N\"/>
    </mc:Choice>
  </mc:AlternateContent>
  <xr:revisionPtr revIDLastSave="0" documentId="13_ncr:1_{2E53283C-8A84-4779-A55F-7F7C9D5901AE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Plan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4" i="1"/>
  <c r="B10" i="1" s="1"/>
  <c r="B5" i="1"/>
  <c r="B16" i="1" l="1"/>
  <c r="B1" i="1"/>
  <c r="B15" i="1"/>
  <c r="B2" i="1"/>
</calcChain>
</file>

<file path=xl/sharedStrings.xml><?xml version="1.0" encoding="utf-8"?>
<sst xmlns="http://schemas.openxmlformats.org/spreadsheetml/2006/main" count="36" uniqueCount="31">
  <si>
    <t>Organização</t>
  </si>
  <si>
    <t>Categoria</t>
  </si>
  <si>
    <t>OUT</t>
  </si>
  <si>
    <t>Empresa</t>
  </si>
  <si>
    <t>WLBR</t>
  </si>
  <si>
    <t>Cód Fornecedor</t>
  </si>
  <si>
    <t>Qtd</t>
  </si>
  <si>
    <t>UMB</t>
  </si>
  <si>
    <t>UN</t>
  </si>
  <si>
    <t>Valor</t>
  </si>
  <si>
    <t>Grupo Mercadoria</t>
  </si>
  <si>
    <t>INC0055</t>
  </si>
  <si>
    <t>Centro</t>
  </si>
  <si>
    <t>BRAD</t>
  </si>
  <si>
    <t>NCM</t>
  </si>
  <si>
    <t>9999.99.99</t>
  </si>
  <si>
    <t>C/C</t>
  </si>
  <si>
    <t>BRV</t>
  </si>
  <si>
    <t>WLLB</t>
  </si>
  <si>
    <t>LBAD</t>
  </si>
  <si>
    <t>WLGB</t>
  </si>
  <si>
    <t>BGAD</t>
  </si>
  <si>
    <t>ZBF3</t>
  </si>
  <si>
    <t>ZLF3</t>
  </si>
  <si>
    <t>Classe Ordem</t>
  </si>
  <si>
    <t>Tipo BRV</t>
  </si>
  <si>
    <t>BRV-0</t>
  </si>
  <si>
    <t>BRV-2</t>
  </si>
  <si>
    <t>BRV-1</t>
  </si>
  <si>
    <t>Texto Breve</t>
  </si>
  <si>
    <t>INTERMEDIAÇÃO DE NEGOCIOS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</si>
</sst>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 Ligh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43" fontId="0" fillId="2" borderId="0" xfId="1" applyFont="1" applyFill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43" fontId="2" fillId="2" borderId="2" xfId="0" applyNumberFormat="1" applyFont="1" applyFill="1" applyBorder="1"/>
    <xf numFmtId="43" fontId="2" fillId="2" borderId="3" xfId="0" applyNumberFormat="1" applyFont="1" applyFill="1" applyBorder="1"/>
    <xf numFmtId="43" fontId="0" fillId="2" borderId="0" xfId="0" applyNumberFormat="1" applyFill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76200</xdr:rowOff>
        </xdr:from>
        <xdr:to>
          <xdr:col>7</xdr:col>
          <xdr:colOff>171450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WLBR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</xdr:row>
          <xdr:rowOff>142875</xdr:rowOff>
        </xdr:from>
        <xdr:to>
          <xdr:col>11</xdr:col>
          <xdr:colOff>219075</xdr:colOff>
          <xdr:row>4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 WLLB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S17"/>
  <sheetViews>
    <sheetView tabSelected="1" workbookViewId="0">
      <selection activeCell="B17" sqref="B17"/>
    </sheetView>
  </sheetViews>
  <sheetFormatPr defaultRowHeight="15" x14ac:dyDescent="0.25"/>
  <cols>
    <col min="1" max="1" width="17" bestFit="1" customWidth="1"/>
    <col min="2" max="2" width="28.85546875" style="2" bestFit="1" customWidth="1"/>
    <col min="8" max="8" width="10.5703125" customWidth="1"/>
  </cols>
  <sheetData>
    <row r="1" spans="1:19" ht="15.75" thickBot="1" x14ac:dyDescent="0.3">
      <c r="A1" t="s">
        <v>24</v>
      </c>
      <c r="B1" s="1" t="str">
        <f>VLOOKUP(B4,N:R,5,0)</f>
        <v>ZBF3</v>
      </c>
      <c r="F1" s="4">
        <v>1001852</v>
      </c>
      <c r="G1" s="5"/>
      <c r="H1" s="6">
        <v>231.4</v>
      </c>
      <c r="I1" s="7" t="s">
        <v>4</v>
      </c>
      <c r="S1" t="s">
        <v>25</v>
      </c>
    </row>
    <row r="2" spans="1:19" x14ac:dyDescent="0.25">
      <c r="A2" t="s">
        <v>0</v>
      </c>
      <c r="B2" s="9">
        <f>VLOOKUP(B4,N:Q,4,0)</f>
        <v>1200</v>
      </c>
      <c r="N2" t="s">
        <v>4</v>
      </c>
      <c r="O2" t="s">
        <v>13</v>
      </c>
      <c r="P2">
        <v>20002</v>
      </c>
      <c r="Q2">
        <v>1200</v>
      </c>
      <c r="R2" t="s">
        <v>22</v>
      </c>
      <c r="S2" t="s">
        <v>26</v>
      </c>
    </row>
    <row r="3" spans="1:19" x14ac:dyDescent="0.25">
      <c r="A3" t="s">
        <v>1</v>
      </c>
      <c r="B3" s="2" t="s">
        <v>2</v>
      </c>
      <c r="N3" t="s">
        <v>18</v>
      </c>
      <c r="O3" t="s">
        <v>19</v>
      </c>
      <c r="P3">
        <v>21102</v>
      </c>
      <c r="Q3">
        <v>1220</v>
      </c>
      <c r="R3" t="s">
        <v>23</v>
      </c>
      <c r="S3" t="s">
        <v>27</v>
      </c>
    </row>
    <row r="4" spans="1:19" x14ac:dyDescent="0.25">
      <c r="A4" t="s">
        <v>3</v>
      </c>
      <c r="B4" s="8" t="str">
        <f>I1</f>
        <v>WLBR</v>
      </c>
      <c r="N4" t="s">
        <v>20</v>
      </c>
      <c r="O4" t="s">
        <v>21</v>
      </c>
      <c r="P4">
        <v>20102</v>
      </c>
      <c r="Q4">
        <v>1210</v>
      </c>
      <c r="R4" t="s">
        <v>22</v>
      </c>
      <c r="S4" t="s">
        <v>28</v>
      </c>
    </row>
    <row r="5" spans="1:19" x14ac:dyDescent="0.25">
      <c r="A5" t="s">
        <v>5</v>
      </c>
      <c r="B5" s="1">
        <f>F1</f>
        <v>1001852</v>
      </c>
    </row>
    <row r="6" spans="1:19" x14ac:dyDescent="0.25">
      <c r="A6" t="s">
        <v>6</v>
      </c>
      <c r="B6" s="2">
        <v>1</v>
      </c>
    </row>
    <row r="7" spans="1:19" x14ac:dyDescent="0.25">
      <c r="A7" t="s">
        <v>7</v>
      </c>
      <c r="B7" s="2" t="s">
        <v>8</v>
      </c>
    </row>
    <row r="8" spans="1:19" x14ac:dyDescent="0.25">
      <c r="A8" t="s">
        <v>9</v>
      </c>
      <c r="B8" s="3">
        <f>H1</f>
        <v>231.4</v>
      </c>
    </row>
    <row r="9" spans="1:19" x14ac:dyDescent="0.25">
      <c r="A9" t="s">
        <v>10</v>
      </c>
      <c r="B9" s="2" t="s">
        <v>11</v>
      </c>
    </row>
    <row r="10" spans="1:19" x14ac:dyDescent="0.25">
      <c r="A10" t="s">
        <v>12</v>
      </c>
      <c r="B10" s="9" t="str">
        <f>VLOOKUP(B4,N:O,2,0)</f>
        <v>BRAD</v>
      </c>
    </row>
    <row r="11" spans="1:19" x14ac:dyDescent="0.25">
      <c r="A11" t="s">
        <v>1</v>
      </c>
      <c r="B11" s="2">
        <v>2</v>
      </c>
    </row>
    <row r="12" spans="1:19" x14ac:dyDescent="0.25">
      <c r="A12" t="s">
        <v>1</v>
      </c>
      <c r="B12" s="2">
        <v>0</v>
      </c>
    </row>
    <row r="13" spans="1:19" x14ac:dyDescent="0.25">
      <c r="A13" t="s">
        <v>1</v>
      </c>
      <c r="B13" s="2">
        <v>0</v>
      </c>
    </row>
    <row r="14" spans="1:19" x14ac:dyDescent="0.25">
      <c r="A14" t="s">
        <v>14</v>
      </c>
      <c r="B14" s="2" t="s">
        <v>15</v>
      </c>
    </row>
    <row r="15" spans="1:19" x14ac:dyDescent="0.25">
      <c r="A15" t="s">
        <v>16</v>
      </c>
      <c r="B15" s="9">
        <f>VLOOKUP(B4,N:P,3,0)</f>
        <v>20002</v>
      </c>
    </row>
    <row r="16" spans="1:19" x14ac:dyDescent="0.25">
      <c r="A16" t="s">
        <v>17</v>
      </c>
      <c r="B16" s="9" t="str">
        <f>CONCATENATE(VLOOKUP(B4,N:S,6,0),B5)</f>
        <v>BRV-01001852</v>
      </c>
    </row>
    <row r="17" spans="1:2" x14ac:dyDescent="0.25">
      <c r="A17" t="s">
        <v>29</v>
      </c>
      <c r="B17" s="2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iar_Pedido_Intermediacaovl">
                <anchor moveWithCells="1" sizeWithCells="1">
                  <from>
                    <xdr:col>5</xdr:col>
                    <xdr:colOff>76200</xdr:colOff>
                    <xdr:row>1</xdr:row>
                    <xdr:rowOff>76200</xdr:rowOff>
                  </from>
                  <to>
                    <xdr:col>7</xdr:col>
                    <xdr:colOff>171450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iar_Pedido_IntermediacaovWLLB">
                <anchor moveWithCells="1" sizeWithCells="1">
                  <from>
                    <xdr:col>9</xdr:col>
                    <xdr:colOff>57150</xdr:colOff>
                    <xdr:row>1</xdr:row>
                    <xdr:rowOff>142875</xdr:rowOff>
                  </from>
                  <to>
                    <xdr:col>11</xdr:col>
                    <xdr:colOff>219075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Goncalves</dc:creator>
  <cp:lastModifiedBy>Alan Gonçalves</cp:lastModifiedBy>
  <dcterms:created xsi:type="dcterms:W3CDTF">2015-06-05T18:19:34Z</dcterms:created>
  <dcterms:modified xsi:type="dcterms:W3CDTF">2026-04-07T15:11:26Z</dcterms:modified>
</cp:coreProperties>
</file>